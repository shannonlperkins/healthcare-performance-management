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e318dd9d7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Overview" sheetId="1" r:id="Rd560486fb4fc4742"/>
    <x:sheet xmlns:r="http://schemas.openxmlformats.org/officeDocument/2006/relationships" name="Example Review" sheetId="2" r:id="R814f0519a0c74dcd"/>
    <x:sheet xmlns:r="http://schemas.openxmlformats.org/officeDocument/2006/relationships" name="Behavior Anchors" sheetId="3" r:id="R175ccd106eb3462b"/>
    <x:sheet xmlns:r="http://schemas.openxmlformats.org/officeDocument/2006/relationships" name="Role Metric Examples" sheetId="4" r:id="Rb89140a4b2ec417c"/>
    <x:sheet xmlns:r="http://schemas.openxmlformats.org/officeDocument/2006/relationships" name="Implementation Guide" sheetId="5" r:id="Re5dce75bcf91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9"/>
      <x:color rgb="FF7C2D12"/>
      <x:name val="Carlito"/>
    </x:font>
    <x:font>
      <x:b/>
      <x:sz val="18"/>
      <x:color rgb="FFFFFFFF"/>
      <x:name val="Carlito"/>
    </x:font>
    <x:font>
      <x:i/>
      <x:sz val="11"/>
      <x:color rgb="FF7C2D12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7ED"/>
      </x:patternFill>
    </x:fill>
    <x:fill>
      <x:patternFill patternType="solid">
        <x:fgColor rgb="FFF3F8FC"/>
      </x:patternFill>
    </x:fill>
    <x:fill>
      <x:patternFill patternType="solid">
        <x:fgColor rgb="FFFCE8E6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/>
    <x:border>
      <x:bottom style="thin">
        <x:color rgb="FFE2E8F0"/>
      </x:bottom>
    </x:border>
    <x:border>
      <x:bottom style="thin">
        <x:color rgb="FFE2E8F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1" fontId="0" fillId="3" borderId="1" xfId="0" applyNumberFormat="1" applyFont="1" applyFill="1" applyBorder="1"/>
    <x:xf numFmtId="0" fontId="5" fillId="3" borderId="1" xfId="0" applyNumberFormat="1" applyFont="1" applyFill="1" applyBorder="1"/>
    <x:xf numFmtId="201" fontId="5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3bdac206248c4" /><Relationship Type="http://schemas.openxmlformats.org/officeDocument/2006/relationships/theme" Target="/xl/theme/theme1.xml" Id="R70a571fdf0ee450c" /><Relationship Type="http://schemas.openxmlformats.org/officeDocument/2006/relationships/sharedStrings" Target="/xl/sharedStrings.xml" Id="R1075630892ec46ce" /><Relationship Type="http://schemas.openxmlformats.org/officeDocument/2006/relationships/worksheet" Target="/xl/worksheets/sheet1.xml" Id="Rd560486fb4fc4742" /><Relationship Type="http://schemas.openxmlformats.org/officeDocument/2006/relationships/worksheet" Target="/xl/worksheets/sheet2.xml" Id="R814f0519a0c74dcd" /><Relationship Type="http://schemas.openxmlformats.org/officeDocument/2006/relationships/worksheet" Target="/xl/worksheets/sheet3.xml" Id="R175ccd106eb3462b" /><Relationship Type="http://schemas.openxmlformats.org/officeDocument/2006/relationships/worksheet" Target="/xl/worksheets/sheet4.xml" Id="Rb89140a4b2ec417c" /><Relationship Type="http://schemas.openxmlformats.org/officeDocument/2006/relationships/worksheet" Target="/xl/worksheets/sheet5.xml" Id="Re5dce75bcf914d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78dd8a6fb34c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Section Performance Summary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'Example Review'!$A$34:$A$37</c:f>
              <c:strCache>
                <c:ptCount val="0"/>
              </c:strCache>
            </c:strRef>
          </c:cat>
          <c:val>
            <c:numRef>
              <c:f>'Example Review'!$B$34:$B$37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Section Avg</c:v>
          </c:tx>
          <c:cat>
            <c:strRef>
              <c:f>'Example Review'!$A$34:$A$37</c:f>
              <c:strCache>
                <c:ptCount val="0"/>
              </c:strCache>
            </c:strRef>
          </c:cat>
          <c:val>
            <c:numRef>
              <c:f>'Example Review'!$C$34:$C$37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44</xdr:row>
      <xdr:rowOff>0</xdr:rowOff>
    </xdr:from>
    <xdr:to>
      <xdr:col>5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78dd8a6fb34c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4d3116278654d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2" hidden="0" customWidth="1"/>
    <x:col min="5" max="5" width="26" hidden="0" customWidth="1"/>
    <x:col min="6" max="6" width="12" hidden="0" customWidth="1"/>
    <x:col min="7" max="7" width="28" hidden="0" customWidth="1"/>
    <x:col min="8" max="8" width="20" hidden="0" customWidth="1"/>
  </x:cols>
  <x:sheetData>
    <x:row r="1">
      <x:c r="A1" s="5" t="str">
        <x:v>Healthcare Performance Management Framework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Sanitized professional work sample | Ambulatory healthcare operations</x:v>
      </x:c>
      <x:c r="B3" s="12"/>
      <x:c r="C3" s="12"/>
      <x:c r="D3" s="12"/>
      <x:c r="E3" s="12"/>
      <x:c r="F3" s="12"/>
      <x:c r="G3" s="12"/>
      <x:c r="H3" s="12"/>
    </x:row>
    <x:row r="5">
      <x:c r="A5" s="21" t="str">
        <x:v>Purpose: Translate broad performance expectations into a measurable, evidence-based review system that combines behavioral competencies, operational expectations, role-specific quality measures, two-rater calibration, and development planning.</x:v>
      </x:c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7">
      <x:c r="A7" s="22"/>
      <x:c r="B7" s="22"/>
      <x:c r="C7" s="22"/>
      <x:c r="D7" s="22"/>
      <x:c r="E7" s="22"/>
      <x:c r="F7" s="22"/>
      <x:c r="G7" s="22"/>
      <x:c r="H7" s="22"/>
    </x:row>
    <x:row r="10">
      <x:c r="A10" s="36" t="str">
        <x:v>Design Element</x:v>
      </x:c>
      <x:c r="B10" s="36" t="str">
        <x:v>What the Framework Does</x:v>
      </x:c>
      <x:c r="C10" s="36" t="str">
        <x:v>Why It Matters</x:v>
      </x:c>
      <x:c r="E10" s="32" t="str">
        <x:v>Framework Architecture</x:v>
      </x:c>
      <x:c r="F10" s="32"/>
      <x:c r="G10" s="32"/>
      <x:c r="H10" s="32"/>
    </x:row>
    <x:row r="11">
      <x:c r="A11" s="37" t="str">
        <x:v>Behavioral Anchors</x:v>
      </x:c>
      <x:c r="B11" s="37" t="str">
        <x:v>Defines what ratings 1–5 look like in observable behavior.</x:v>
      </x:c>
      <x:c r="C11" s="37" t="str">
        <x:v>Reduces ambiguity and improves coaching consistency.</x:v>
      </x:c>
      <x:c r="E11" s="46" t="str">
        <x:v>Section</x:v>
      </x:c>
      <x:c r="F11" s="46" t="str">
        <x:v>Weight</x:v>
      </x:c>
      <x:c r="G11" s="46" t="str">
        <x:v>Illustrative Scope</x:v>
      </x:c>
      <x:c r="H11" s="46" t="str">
        <x:v>Output</x:v>
      </x:c>
    </x:row>
    <x:row r="12">
      <x:c r="A12" s="37" t="str">
        <x:v>Two-Rater Calibration</x:v>
      </x:c>
      <x:c r="B12" s="37" t="str">
        <x:v>Allows a primary and secondary evaluator to rate the same competency.</x:v>
      </x:c>
      <x:c r="C12" s="37" t="str">
        <x:v>Creates a structured calibration point and reduces single-rater bias.</x:v>
      </x:c>
      <x:c r="E12" s="37" t="str">
        <x:v>Core Values &amp; Behaviors</x:v>
      </x:c>
      <x:c r="F12" s="47" t="n">
        <x:v>0.25</x:v>
      </x:c>
      <x:c r="G12" s="37" t="str">
        <x:v>5 competencies</x:v>
      </x:c>
      <x:c r="H12" s="37" t="str">
        <x:v>Section score</x:v>
      </x:c>
    </x:row>
    <x:row r="13">
      <x:c r="A13" s="37" t="str">
        <x:v>Role-Specific Measures</x:v>
      </x:c>
      <x:c r="B13" s="37" t="str">
        <x:v>Adds quality or operational measures relevant to the employee’s role.</x:v>
      </x:c>
      <x:c r="C13" s="37" t="str">
        <x:v>Connects individual performance to business and patient-care outcomes.</x:v>
      </x:c>
      <x:c r="E13" s="37" t="str">
        <x:v>Communication &amp; Teamwork</x:v>
      </x:c>
      <x:c r="F13" s="47" t="n">
        <x:v>0.2</x:v>
      </x:c>
      <x:c r="G13" s="37" t="str">
        <x:v>5 competencies</x:v>
      </x:c>
      <x:c r="H13" s="37" t="str">
        <x:v>Section score</x:v>
      </x:c>
    </x:row>
    <x:row r="14">
      <x:c r="A14" s="37" t="str">
        <x:v>Evidence Requirement</x:v>
      </x:c>
      <x:c r="B14" s="37" t="str">
        <x:v>Pairs ratings with examples, outcomes, or documented observations.</x:v>
      </x:c>
      <x:c r="C14" s="37" t="str">
        <x:v>Makes reviews more defensible and development-oriented.</x:v>
      </x:c>
      <x:c r="E14" s="37" t="str">
        <x:v>Operational Goals</x:v>
      </x:c>
      <x:c r="F14" s="47" t="n">
        <x:v>0.25</x:v>
      </x:c>
      <x:c r="G14" s="37" t="str">
        <x:v>5 competencies</x:v>
      </x:c>
      <x:c r="H14" s="37" t="str">
        <x:v>Section score</x:v>
      </x:c>
    </x:row>
    <x:row r="15">
      <x:c r="A15" s="37" t="str">
        <x:v>Weighted Score</x:v>
      </x:c>
      <x:c r="B15" s="37" t="str">
        <x:v>Balances values, communication, operations, and role-specific results.</x:v>
      </x:c>
      <x:c r="C15" s="37" t="str">
        <x:v>Prevents one performance area from dominating the full review.</x:v>
      </x:c>
      <x:c r="E15" s="37" t="str">
        <x:v>Role-Specific Quality</x:v>
      </x:c>
      <x:c r="F15" s="47" t="n">
        <x:v>0.3</x:v>
      </x:c>
      <x:c r="G15" s="37" t="str">
        <x:v>5 competencies</x:v>
      </x:c>
      <x:c r="H15" s="37" t="str">
        <x:v>Section score</x:v>
      </x:c>
    </x:row>
    <x:row r="16">
      <x:c r="A16" s="37" t="str">
        <x:v>Policy Override</x:v>
      </x:c>
      <x:c r="B16" s="37" t="str">
        <x:v>Flags formal corrective-action status for management review.</x:v>
      </x:c>
      <x:c r="C16" s="37" t="str">
        <x:v>Separates performance scoring from organization-specific HR policy decisions.</x:v>
      </x:c>
    </x:row>
    <x:row r="17">
      <x:c r="A17" s="37" t="str">
        <x:v>Development Planning</x:v>
      </x:c>
      <x:c r="B17" s="37" t="str">
        <x:v>Ends with forward-looking goal and support questions.</x:v>
      </x:c>
      <x:c r="C17" s="37" t="str">
        <x:v>Turns the review into a development conversation, not only a score.</x:v>
      </x:c>
    </x:row>
    <x:row r="20">
      <x:c r="A20" s="54" t="str">
        <x:v>Confidentiality note: This workbook is a recreated and sanitized portfolio artifact based on a performance-management framework developed professionally. Employer names, employee data, internal benchmarks, proprietary reports, links, and exact policy thresholds have been removed or replaced with illustrative examples.</x:v>
      </x:c>
      <x:c r="B20" s="54"/>
      <x:c r="C20" s="54"/>
      <x:c r="D20" s="54"/>
      <x:c r="E20" s="54"/>
      <x:c r="F20" s="54"/>
      <x:c r="G20" s="54"/>
      <x:c r="H20" s="54"/>
    </x:row>
    <x:row r="21">
      <x:c r="A21" s="54"/>
      <x:c r="B21" s="54"/>
      <x:c r="C21" s="54"/>
      <x:c r="D21" s="54"/>
      <x:c r="E21" s="54"/>
      <x:c r="F21" s="54"/>
      <x:c r="G21" s="54"/>
      <x:c r="H21" s="54"/>
    </x:row>
    <x:row r="22">
      <x:c r="A22" s="54"/>
      <x:c r="B22" s="54"/>
      <x:c r="C22" s="54"/>
      <x:c r="D22" s="54"/>
      <x:c r="E22" s="54"/>
      <x:c r="F22" s="54"/>
      <x:c r="G22" s="54"/>
      <x:c r="H22" s="54"/>
    </x:row>
  </x:sheetData>
  <x:mergeCells>
    <x:mergeCell ref="A1:H2"/>
    <x:mergeCell ref="A3:H3"/>
    <x:mergeCell ref="A5:H7"/>
    <x:mergeCell ref="E10:H10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14" hidden="0" customWidth="1"/>
    <x:col min="9" max="9" width="26" hidden="0" customWidth="1"/>
  </x:cols>
  <x:sheetData>
    <x:row r="1">
      <x:c r="A1" s="62" t="str">
        <x:v>Healthcare Performance Review — Portfolio Example</x:v>
      </x:c>
      <x:c r="B1" s="62"/>
      <x:c r="C1" s="62"/>
      <x:c r="D1" s="62"/>
      <x:c r="E1" s="62"/>
      <x:c r="F1" s="62"/>
      <x:c r="G1" s="62"/>
      <x:c r="H1" s="62"/>
      <x:c r="I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</x:row>
    <x:row r="4">
      <x:c r="A4" s="46" t="str">
        <x:v>Employee</x:v>
      </x:c>
      <x:c r="B4" s="37" t="str">
        <x:v>Sample Employee</x:v>
      </x:c>
      <x:c r="C4" s="37" t="str"/>
      <x:c r="D4" s="37" t="str"/>
      <x:c r="E4" s="37" t="str"/>
      <x:c r="F4" s="46" t="str">
        <x:v>Review Period</x:v>
      </x:c>
      <x:c r="G4" s="37" t="str">
        <x:v>FY Example</x:v>
      </x:c>
      <x:c r="H4" s="37" t="str"/>
      <x:c r="I4" s="37" t="str"/>
    </x:row>
    <x:row r="5">
      <x:c r="A5" s="46" t="str">
        <x:v>Role</x:v>
      </x:c>
      <x:c r="B5" s="37" t="str">
        <x:v>Patient Access Specialist</x:v>
      </x:c>
      <x:c r="C5" s="37" t="str"/>
      <x:c r="D5" s="37" t="str"/>
      <x:c r="E5" s="37" t="str"/>
      <x:c r="F5" s="46" t="str">
        <x:v>Evaluator 1</x:v>
      </x:c>
      <x:c r="G5" s="37" t="str">
        <x:v>Operations Leader</x:v>
      </x:c>
      <x:c r="H5" s="37" t="str"/>
      <x:c r="I5" s="37" t="str"/>
    </x:row>
    <x:row r="6">
      <x:c r="A6" s="46" t="str">
        <x:v>Evaluator 2</x:v>
      </x:c>
      <x:c r="B6" s="37" t="str">
        <x:v>Peer Leader / Calibration Rater</x:v>
      </x:c>
      <x:c r="C6" s="37" t="str"/>
      <x:c r="D6" s="37" t="str"/>
      <x:c r="E6" s="37" t="str"/>
      <x:c r="F6" s="46" t="str">
        <x:v>Formal Corrective Action?</x:v>
      </x:c>
      <x:c r="G6" s="37" t="str">
        <x:v>No</x:v>
      </x:c>
      <x:c r="H6" s="37" t="str"/>
      <x:c r="I6" s="37" t="str"/>
    </x:row>
    <x:row r="7">
      <x:c r="A7" s="46" t="str">
        <x:v>Portfolio Note</x:v>
      </x:c>
      <x:c r="B7" s="37" t="str">
        <x:v>All names, ratings, evidence, thresholds, and outcomes below are illustrative.</x:v>
      </x:c>
      <x:c r="C7" s="37" t="str"/>
      <x:c r="D7" s="37" t="str"/>
      <x:c r="E7" s="37" t="str"/>
      <x:c r="F7" s="46" t="str">
        <x:v>Policy Override</x:v>
      </x:c>
      <x:c r="G7" s="37" t="str">
        <x:f>IF(G6="Yes","Management Review Required","None")</x:f>
        <x:v>None</x:v>
      </x:c>
      <x:c r="H7" s="37" t="str"/>
      <x:c r="I7" s="37" t="str"/>
    </x:row>
    <x:row r="10">
      <x:c r="A10" s="36" t="str">
        <x:v>Competency</x:v>
      </x:c>
      <x:c r="B10" s="36" t="str">
        <x:v>Description</x:v>
      </x:c>
      <x:c r="C10" s="36" t="str">
        <x:v>Weight</x:v>
      </x:c>
      <x:c r="D10" s="36" t="str">
        <x:v>Evaluator 1</x:v>
      </x:c>
      <x:c r="E10" s="36" t="str">
        <x:v>Evaluator 2</x:v>
      </x:c>
      <x:c r="F10" s="36" t="str">
        <x:v>Final Rating</x:v>
      </x:c>
      <x:c r="G10" s="36" t="str">
        <x:v>Evidence / Comments</x:v>
      </x:c>
      <x:c r="H10" s="36" t="str">
        <x:v>Weighted Points</x:v>
      </x:c>
      <x:c r="I10" s="36" t="str">
        <x:v>Section</x:v>
      </x:c>
    </x:row>
    <x:row r="11">
      <x:c r="A11" s="89" t="str">
        <x:v>Compassion</x:v>
      </x:c>
      <x:c r="B11" s="89" t="str">
        <x:v>Demonstrates empathy, respect, and consideration in interactions.</x:v>
      </x:c>
      <x:c r="C11" s="90" t="n">
        <x:v>0.05</x:v>
      </x:c>
      <x:c r="D11" s="91" t="n">
        <x:v>4</x:v>
      </x:c>
      <x:c r="E11" s="91" t="n">
        <x:v>4</x:v>
      </x:c>
      <x:c r="F11" s="91" t="n">
        <x:f>IF(COUNT(D11:E11)=0,"",AVERAGE(D11:E11))</x:f>
        <x:v>4</x:v>
      </x:c>
      <x:c r="G11" s="89" t="str">
        <x:v>Positive patient feedback; supports peers during high-volume periods.</x:v>
      </x:c>
      <x:c r="H11" s="91" t="n">
        <x:f>IF(F11="","",F11/5*C11*100)</x:f>
        <x:v>4.000000000000001</x:v>
      </x:c>
      <x:c r="I11" s="89" t="str">
        <x:v>Core Values &amp; Behaviors</x:v>
      </x:c>
    </x:row>
    <x:row r="12">
      <x:c r="A12" s="89" t="str">
        <x:v>Inclusion</x:v>
      </x:c>
      <x:c r="B12" s="89" t="str">
        <x:v>Creates a welcoming environment and engages colleagues respectfully.</x:v>
      </x:c>
      <x:c r="C12" s="90" t="n">
        <x:v>0.05</x:v>
      </x:c>
      <x:c r="D12" s="91" t="n">
        <x:v>4</x:v>
      </x:c>
      <x:c r="E12" s="91" t="n">
        <x:v>4</x:v>
      </x:c>
      <x:c r="F12" s="91" t="n">
        <x:f>IF(COUNT(D12:E12)=0,"",AVERAGE(D12:E12))</x:f>
        <x:v>4</x:v>
      </x:c>
      <x:c r="G12" s="89" t="str">
        <x:v>Consistently includes teammates in huddles and decisions.</x:v>
      </x:c>
      <x:c r="H12" s="91" t="n">
        <x:f>IF(F12="","",F12/5*C12*100)</x:f>
        <x:v>4.000000000000001</x:v>
      </x:c>
      <x:c r="I12" s="89" t="str">
        <x:v>Core Values &amp; Behaviors</x:v>
      </x:c>
    </x:row>
    <x:row r="13">
      <x:c r="A13" s="89" t="str">
        <x:v>Integrity</x:v>
      </x:c>
      <x:c r="B13" s="89" t="str">
        <x:v>Owns commitments, follows through, and addresses issues directly.</x:v>
      </x:c>
      <x:c r="C13" s="90" t="n">
        <x:v>0.05</x:v>
      </x:c>
      <x:c r="D13" s="91" t="n">
        <x:v>3</x:v>
      </x:c>
      <x:c r="E13" s="91" t="n">
        <x:v>4</x:v>
      </x:c>
      <x:c r="F13" s="91" t="n">
        <x:f>IF(COUNT(D13:E13)=0,"",AVERAGE(D13:E13))</x:f>
        <x:v>3.5</x:v>
      </x:c>
      <x:c r="G13" s="89" t="str">
        <x:v>Strong follow-through; one opportunity to communicate barriers earlier.</x:v>
      </x:c>
      <x:c r="H13" s="91" t="n">
        <x:f>IF(F13="","",F13/5*C13*100)</x:f>
        <x:v>3.4999999999999996</x:v>
      </x:c>
      <x:c r="I13" s="89" t="str">
        <x:v>Core Values &amp; Behaviors</x:v>
      </x:c>
    </x:row>
    <x:row r="14">
      <x:c r="A14" s="89" t="str">
        <x:v>Excellence</x:v>
      </x:c>
      <x:c r="B14" s="89" t="str">
        <x:v>Maintains quality, professionalism, and attention to detail.</x:v>
      </x:c>
      <x:c r="C14" s="90" t="n">
        <x:v>0.05</x:v>
      </x:c>
      <x:c r="D14" s="91" t="n">
        <x:v>4</x:v>
      </x:c>
      <x:c r="E14" s="91" t="n">
        <x:v>4</x:v>
      </x:c>
      <x:c r="F14" s="91" t="n">
        <x:f>IF(COUNT(D14:E14)=0,"",AVERAGE(D14:E14))</x:f>
        <x:v>4</x:v>
      </x:c>
      <x:c r="G14" s="89" t="str">
        <x:v>Low error rate and consistently professional patient interactions.</x:v>
      </x:c>
      <x:c r="H14" s="91" t="n">
        <x:f>IF(F14="","",F14/5*C14*100)</x:f>
        <x:v>4.000000000000001</x:v>
      </x:c>
      <x:c r="I14" s="89" t="str">
        <x:v>Core Values &amp; Behaviors</x:v>
      </x:c>
    </x:row>
    <x:row r="15">
      <x:c r="A15" s="89" t="str">
        <x:v>Collaboration</x:v>
      </x:c>
      <x:c r="B15" s="89" t="str">
        <x:v>Works cooperatively across teams and contributes to shared outcomes.</x:v>
      </x:c>
      <x:c r="C15" s="90" t="n">
        <x:v>0.05</x:v>
      </x:c>
      <x:c r="D15" s="91" t="n">
        <x:v>4</x:v>
      </x:c>
      <x:c r="E15" s="91" t="n">
        <x:v>5</x:v>
      </x:c>
      <x:c r="F15" s="91" t="n">
        <x:f>IF(COUNT(D15:E15)=0,"",AVERAGE(D15:E15))</x:f>
        <x:v>4.5</x:v>
      </x:c>
      <x:c r="G15" s="89" t="str">
        <x:v>Regularly provides cross-coverage and helps orient new staff.</x:v>
      </x:c>
      <x:c r="H15" s="91" t="n">
        <x:f>IF(F15="","",F15/5*C15*100)</x:f>
        <x:v>4.500000000000001</x:v>
      </x:c>
      <x:c r="I15" s="89" t="str">
        <x:v>Core Values &amp; Behaviors</x:v>
      </x:c>
    </x:row>
    <x:row r="16">
      <x:c r="A16" s="95" t="str">
        <x:v>Team Participation</x:v>
      </x:c>
      <x:c r="B16" s="95" t="str">
        <x:v>Participates consistently in huddles, meetings, and team problem-solving.</x:v>
      </x:c>
      <x:c r="C16" s="96" t="n">
        <x:v>0.04</x:v>
      </x:c>
      <x:c r="D16" s="97" t="n">
        <x:v>4</x:v>
      </x:c>
      <x:c r="E16" s="97" t="n">
        <x:v>4</x:v>
      </x:c>
      <x:c r="F16" s="97" t="n">
        <x:f>IF(COUNT(D16:E16)=0,"",AVERAGE(D16:E16))</x:f>
        <x:v>4</x:v>
      </x:c>
      <x:c r="G16" s="95" t="str">
        <x:v>Active contributor; brings forward workflow issues with proposed solutions.</x:v>
      </x:c>
      <x:c r="H16" s="97" t="n">
        <x:f>IF(F16="","",F16/5*C16*100)</x:f>
        <x:v>3.2</x:v>
      </x:c>
      <x:c r="I16" s="95" t="str">
        <x:v>Communication &amp; Teamwork</x:v>
      </x:c>
    </x:row>
    <x:row r="17">
      <x:c r="A17" s="95" t="str">
        <x:v>Information Sharing</x:v>
      </x:c>
      <x:c r="B17" s="95" t="str">
        <x:v>Provides clear updates using appropriate communication channels.</x:v>
      </x:c>
      <x:c r="C17" s="96" t="n">
        <x:v>0.04</x:v>
      </x:c>
      <x:c r="D17" s="97" t="n">
        <x:v>4</x:v>
      </x:c>
      <x:c r="E17" s="97" t="n">
        <x:v>4</x:v>
      </x:c>
      <x:c r="F17" s="97" t="n">
        <x:f>IF(COUNT(D17:E17)=0,"",AVERAGE(D17:E17))</x:f>
        <x:v>4</x:v>
      </x:c>
      <x:c r="G17" s="95" t="str">
        <x:v>Timely updates to peers and leaders; concise escalation summaries.</x:v>
      </x:c>
      <x:c r="H17" s="97" t="n">
        <x:f>IF(F17="","",F17/5*C17*100)</x:f>
        <x:v>3.2</x:v>
      </x:c>
      <x:c r="I17" s="95" t="str">
        <x:v>Communication &amp; Teamwork</x:v>
      </x:c>
    </x:row>
    <x:row r="18">
      <x:c r="A18" s="95" t="str">
        <x:v>Feedback Culture</x:v>
      </x:c>
      <x:c r="B18" s="95" t="str">
        <x:v>Receives and provides constructive feedback professionally.</x:v>
      </x:c>
      <x:c r="C18" s="96" t="n">
        <x:v>0.04</x:v>
      </x:c>
      <x:c r="D18" s="97" t="n">
        <x:v>3</x:v>
      </x:c>
      <x:c r="E18" s="97" t="n">
        <x:v>4</x:v>
      </x:c>
      <x:c r="F18" s="97" t="n">
        <x:f>IF(COUNT(D18:E18)=0,"",AVERAGE(D18:E18))</x:f>
        <x:v>3.5</x:v>
      </x:c>
      <x:c r="G18" s="95" t="str">
        <x:v>Accepts coaching well; increasing confidence giving peer feedback.</x:v>
      </x:c>
      <x:c r="H18" s="97" t="n">
        <x:f>IF(F18="","",F18/5*C18*100)</x:f>
        <x:v>2.8</x:v>
      </x:c>
      <x:c r="I18" s="95" t="str">
        <x:v>Communication &amp; Teamwork</x:v>
      </x:c>
    </x:row>
    <x:row r="19">
      <x:c r="A19" s="95" t="str">
        <x:v>Cross-Functional Coordination</x:v>
      </x:c>
      <x:c r="B19" s="95" t="str">
        <x:v>Coordinates effectively across roles and departments.</x:v>
      </x:c>
      <x:c r="C19" s="96" t="n">
        <x:v>0.04</x:v>
      </x:c>
      <x:c r="D19" s="97" t="n">
        <x:v>4</x:v>
      </x:c>
      <x:c r="E19" s="97" t="n">
        <x:v>4</x:v>
      </x:c>
      <x:c r="F19" s="97" t="n">
        <x:f>IF(COUNT(D19:E19)=0,"",AVERAGE(D19:E19))</x:f>
        <x:v>4</x:v>
      </x:c>
      <x:c r="G19" s="95" t="str">
        <x:v>Resolved several scheduling/clinical handoff issues without escalation.</x:v>
      </x:c>
      <x:c r="H19" s="97" t="n">
        <x:f>IF(F19="","",F19/5*C19*100)</x:f>
        <x:v>3.2</x:v>
      </x:c>
      <x:c r="I19" s="95" t="str">
        <x:v>Communication &amp; Teamwork</x:v>
      </x:c>
    </x:row>
    <x:row r="20">
      <x:c r="A20" s="95" t="str">
        <x:v>Timeliness of Communication</x:v>
      </x:c>
      <x:c r="B20" s="95" t="str">
        <x:v>Responds within expected timeframes and escalates critical issues promptly.</x:v>
      </x:c>
      <x:c r="C20" s="96" t="n">
        <x:v>0.04</x:v>
      </x:c>
      <x:c r="D20" s="97" t="n">
        <x:v>4</x:v>
      </x:c>
      <x:c r="E20" s="97" t="n">
        <x:v>4</x:v>
      </x:c>
      <x:c r="F20" s="97" t="n">
        <x:f>IF(COUNT(D20:E20)=0,"",AVERAGE(D20:E20))</x:f>
        <x:v>4</x:v>
      </x:c>
      <x:c r="G20" s="95" t="str">
        <x:v>Consistently meets internal response expectations.</x:v>
      </x:c>
      <x:c r="H20" s="97" t="n">
        <x:f>IF(F20="","",F20/5*C20*100)</x:f>
        <x:v>3.2</x:v>
      </x:c>
      <x:c r="I20" s="95" t="str">
        <x:v>Communication &amp; Teamwork</x:v>
      </x:c>
    </x:row>
    <x:row r="21">
      <x:c r="A21" s="89" t="str">
        <x:v>Proactive Ownership</x:v>
      </x:c>
      <x:c r="B21" s="89" t="str">
        <x:v>Identifies problems and initiates appropriate action before issues escalate.</x:v>
      </x:c>
      <x:c r="C21" s="90" t="n">
        <x:v>0.05</x:v>
      </x:c>
      <x:c r="D21" s="91" t="n">
        <x:v>4</x:v>
      </x:c>
      <x:c r="E21" s="91" t="n">
        <x:v>4</x:v>
      </x:c>
      <x:c r="F21" s="91" t="n">
        <x:f>IF(COUNT(D21:E21)=0,"",AVERAGE(D21:E21))</x:f>
        <x:v>4</x:v>
      </x:c>
      <x:c r="G21" s="89" t="str">
        <x:v>Submitted improvement requests and followed through to resolution.</x:v>
      </x:c>
      <x:c r="H21" s="91" t="n">
        <x:f>IF(F21="","",F21/5*C21*100)</x:f>
        <x:v>4.000000000000001</x:v>
      </x:c>
      <x:c r="I21" s="89" t="str">
        <x:v>Operational Goals</x:v>
      </x:c>
    </x:row>
    <x:row r="22">
      <x:c r="A22" s="89" t="str">
        <x:v>Patient / Customer Experience</x:v>
      </x:c>
      <x:c r="B22" s="89" t="str">
        <x:v>Provides service that is responsive, respectful, and solution-oriented.</x:v>
      </x:c>
      <x:c r="C22" s="90" t="n">
        <x:v>0.05</x:v>
      </x:c>
      <x:c r="D22" s="91" t="n">
        <x:v>4</x:v>
      </x:c>
      <x:c r="E22" s="91" t="n">
        <x:v>4</x:v>
      </x:c>
      <x:c r="F22" s="91" t="n">
        <x:f>IF(COUNT(D22:E22)=0,"",AVERAGE(D22:E22))</x:f>
        <x:v>4</x:v>
      </x:c>
      <x:c r="G22" s="89" t="str">
        <x:v>Illustrative service score above target; named positively in feedback.</x:v>
      </x:c>
      <x:c r="H22" s="91" t="n">
        <x:f>IF(F22="","",F22/5*C22*100)</x:f>
        <x:v>4.000000000000001</x:v>
      </x:c>
      <x:c r="I22" s="89" t="str">
        <x:v>Operational Goals</x:v>
      </x:c>
    </x:row>
    <x:row r="23">
      <x:c r="A23" s="89" t="str">
        <x:v>Cross-Functional Support</x:v>
      </x:c>
      <x:c r="B23" s="89" t="str">
        <x:v>Provides flexible support outside the immediate assignment when needed.</x:v>
      </x:c>
      <x:c r="C23" s="90" t="n">
        <x:v>0.05</x:v>
      </x:c>
      <x:c r="D23" s="91" t="n">
        <x:v>4</x:v>
      </x:c>
      <x:c r="E23" s="91" t="n">
        <x:v>5</x:v>
      </x:c>
      <x:c r="F23" s="91" t="n">
        <x:f>IF(COUNT(D23:E23)=0,"",AVERAGE(D23:E23))</x:f>
        <x:v>4.5</x:v>
      </x:c>
      <x:c r="G23" s="89" t="str">
        <x:v>Volunteered for cross-coverage and supported another work queue.</x:v>
      </x:c>
      <x:c r="H23" s="91" t="n">
        <x:f>IF(F23="","",F23/5*C23*100)</x:f>
        <x:v>4.500000000000001</x:v>
      </x:c>
      <x:c r="I23" s="89" t="str">
        <x:v>Operational Goals</x:v>
      </x:c>
    </x:row>
    <x:row r="24">
      <x:c r="A24" s="89" t="str">
        <x:v>Resource Stewardship</x:v>
      </x:c>
      <x:c r="B24" s="89" t="str">
        <x:v>Uses time and resources efficiently and raises barriers early.</x:v>
      </x:c>
      <x:c r="C24" s="90" t="n">
        <x:v>0.05</x:v>
      </x:c>
      <x:c r="D24" s="91" t="n">
        <x:v>3</x:v>
      </x:c>
      <x:c r="E24" s="91" t="n">
        <x:v>4</x:v>
      </x:c>
      <x:c r="F24" s="91" t="n">
        <x:f>IF(COUNT(D24:E24)=0,"",AVERAGE(D24:E24))</x:f>
        <x:v>3.5</x:v>
      </x:c>
      <x:c r="G24" s="89" t="str">
        <x:v>Generally efficient; one month included avoidable extra hours.</x:v>
      </x:c>
      <x:c r="H24" s="91" t="n">
        <x:f>IF(F24="","",F24/5*C24*100)</x:f>
        <x:v>3.4999999999999996</x:v>
      </x:c>
      <x:c r="I24" s="89" t="str">
        <x:v>Operational Goals</x:v>
      </x:c>
    </x:row>
    <x:row r="25">
      <x:c r="A25" s="89" t="str">
        <x:v>Safety &amp; Risk Awareness</x:v>
      </x:c>
      <x:c r="B25" s="89" t="str">
        <x:v>Follows safety standards and reports risks or near misses promptly.</x:v>
      </x:c>
      <x:c r="C25" s="90" t="n">
        <x:v>0.05</x:v>
      </x:c>
      <x:c r="D25" s="91" t="n">
        <x:v>4</x:v>
      </x:c>
      <x:c r="E25" s="91" t="n">
        <x:v>4</x:v>
      </x:c>
      <x:c r="F25" s="91" t="n">
        <x:f>IF(COUNT(D25:E25)=0,"",AVERAGE(D25:E25))</x:f>
        <x:v>4</x:v>
      </x:c>
      <x:c r="G25" s="89" t="str">
        <x:v>No safety concerns; participates in safety review discussions.</x:v>
      </x:c>
      <x:c r="H25" s="91" t="n">
        <x:f>IF(F25="","",F25/5*C25*100)</x:f>
        <x:v>4.000000000000001</x:v>
      </x:c>
      <x:c r="I25" s="89" t="str">
        <x:v>Operational Goals</x:v>
      </x:c>
    </x:row>
    <x:row r="26">
      <x:c r="A26" s="95" t="str">
        <x:v>Registration Accuracy</x:v>
      </x:c>
      <x:c r="B26" s="95" t="str">
        <x:v>Completes registration and verification accurately using defined workflows.</x:v>
      </x:c>
      <x:c r="C26" s="96" t="n">
        <x:v>0.06</x:v>
      </x:c>
      <x:c r="D26" s="97" t="n">
        <x:v>4</x:v>
      </x:c>
      <x:c r="E26" s="97" t="n">
        <x:v>4</x:v>
      </x:c>
      <x:c r="F26" s="97" t="n">
        <x:f>IF(COUNT(D26:E26)=0,"",AVERAGE(D26:E26))</x:f>
        <x:v>4</x:v>
      </x:c>
      <x:c r="G26" s="95" t="str">
        <x:v>Illustrative audit accuracy 97%; no preventable high-risk errors.</x:v>
      </x:c>
      <x:c r="H26" s="97" t="n">
        <x:f>IF(F26="","",F26/5*C26*100)</x:f>
        <x:v>4.8</x:v>
      </x:c>
      <x:c r="I26" s="95" t="str">
        <x:v>Role-Specific Quality</x:v>
      </x:c>
    </x:row>
    <x:row r="27">
      <x:c r="A27" s="95" t="str">
        <x:v>Call Management</x:v>
      </x:c>
      <x:c r="B27" s="95" t="str">
        <x:v>Handles calls professionally and completes required follow-up.</x:v>
      </x:c>
      <x:c r="C27" s="96" t="n">
        <x:v>0.06</x:v>
      </x:c>
      <x:c r="D27" s="97" t="n">
        <x:v>4</x:v>
      </x:c>
      <x:c r="E27" s="97" t="n">
        <x:v>4</x:v>
      </x:c>
      <x:c r="F27" s="97" t="n">
        <x:f>IF(COUNT(D27:E27)=0,"",AVERAGE(D27:E27))</x:f>
        <x:v>4</x:v>
      </x:c>
      <x:c r="G27" s="95" t="str">
        <x:v>Illustrative answer/response performance above role target.</x:v>
      </x:c>
      <x:c r="H27" s="97" t="n">
        <x:f>IF(F27="","",F27/5*C27*100)</x:f>
        <x:v>4.8</x:v>
      </x:c>
      <x:c r="I27" s="95" t="str">
        <x:v>Role-Specific Quality</x:v>
      </x:c>
    </x:row>
    <x:row r="28">
      <x:c r="A28" s="95" t="str">
        <x:v>Scheduling Accuracy</x:v>
      </x:c>
      <x:c r="B28" s="95" t="str">
        <x:v>Schedules correctly and prevents avoidable appointment errors.</x:v>
      </x:c>
      <x:c r="C28" s="96" t="n">
        <x:v>0.06</x:v>
      </x:c>
      <x:c r="D28" s="97" t="n">
        <x:v>4</x:v>
      </x:c>
      <x:c r="E28" s="97" t="n">
        <x:v>4</x:v>
      </x:c>
      <x:c r="F28" s="97" t="n">
        <x:f>IF(COUNT(D28:E28)=0,"",AVERAGE(D28:E28))</x:f>
        <x:v>4</x:v>
      </x:c>
      <x:c r="G28" s="95" t="str">
        <x:v>No significant scheduling errors in the sample period.</x:v>
      </x:c>
      <x:c r="H28" s="97" t="n">
        <x:f>IF(F28="","",F28/5*C28*100)</x:f>
        <x:v>4.8</x:v>
      </x:c>
      <x:c r="I28" s="95" t="str">
        <x:v>Role-Specific Quality</x:v>
      </x:c>
    </x:row>
    <x:row r="29">
      <x:c r="A29" s="95" t="str">
        <x:v>Work Queue Management</x:v>
      </x:c>
      <x:c r="B29" s="95" t="str">
        <x:v>Completes assigned tasks timely with clear documentation.</x:v>
      </x:c>
      <x:c r="C29" s="96" t="n">
        <x:v>0.06</x:v>
      </x:c>
      <x:c r="D29" s="97" t="n">
        <x:v>4</x:v>
      </x:c>
      <x:c r="E29" s="97" t="n">
        <x:v>5</x:v>
      </x:c>
      <x:c r="F29" s="97" t="n">
        <x:f>IF(COUNT(D29:E29)=0,"",AVERAGE(D29:E29))</x:f>
        <x:v>4.5</x:v>
      </x:c>
      <x:c r="G29" s="95" t="str">
        <x:v>Maintains backlog within target and assists peers during surges.</x:v>
      </x:c>
      <x:c r="H29" s="97" t="n">
        <x:f>IF(F29="","",F29/5*C29*100)</x:f>
        <x:v>5.4</x:v>
      </x:c>
      <x:c r="I29" s="95" t="str">
        <x:v>Role-Specific Quality</x:v>
      </x:c>
    </x:row>
    <x:row r="30">
      <x:c r="A30" s="95" t="str">
        <x:v>Financial Intake / Collection Workflow</x:v>
      </x:c>
      <x:c r="B30" s="95" t="str">
        <x:v>Follows required intake and collection/documentation steps.</x:v>
      </x:c>
      <x:c r="C30" s="96" t="n">
        <x:v>0.06</x:v>
      </x:c>
      <x:c r="D30" s="97" t="n">
        <x:v>3</x:v>
      </x:c>
      <x:c r="E30" s="97" t="n">
        <x:v>4</x:v>
      </x:c>
      <x:c r="F30" s="97" t="n">
        <x:f>IF(COUNT(D30:E30)=0,"",AVERAGE(D30:E30))</x:f>
        <x:v>3.5</x:v>
      </x:c>
      <x:c r="G30" s="95" t="str">
        <x:v>Meets illustrative threshold; opportunity to improve consistency under peak volume.</x:v>
      </x:c>
      <x:c r="H30" s="97" t="n">
        <x:f>IF(F30="","",F30/5*C30*100)</x:f>
        <x:v>4.199999999999999</x:v>
      </x:c>
      <x:c r="I30" s="95" t="str">
        <x:v>Role-Specific Quality</x:v>
      </x:c>
    </x:row>
    <x:row r="33">
      <x:c r="A33" s="31" t="str">
        <x:v>Section</x:v>
      </x:c>
      <x:c r="B33" s="31" t="str">
        <x:v>Weight</x:v>
      </x:c>
      <x:c r="C33" s="31" t="str">
        <x:v>Section Avg</x:v>
      </x:c>
      <x:c r="D33" s="31" t="str">
        <x:v>Weighted Contribution</x:v>
      </x:c>
      <x:c r="F33" s="32" t="str">
        <x:v>Development &amp; Goal Setting</x:v>
      </x:c>
      <x:c r="G33" s="32"/>
      <x:c r="H33" s="32"/>
      <x:c r="I33" s="32"/>
    </x:row>
    <x:row r="34">
      <x:c r="A34" t="str">
        <x:v>Core Values &amp; Behaviors</x:v>
      </x:c>
      <x:c r="B34" s="44" t="n">
        <x:v>0.25</x:v>
      </x:c>
      <x:c r="C34" s="70" t="n">
        <x:f>AVERAGE(F11:F15)</x:f>
        <x:v>4</x:v>
      </x:c>
      <x:c r="D34" s="70" t="n">
        <x:f>SUM(H11:H15)</x:f>
        <x:v>20.000000000000004</x:v>
      </x:c>
      <x:c r="F34" s="83" t="str">
        <x:v>1. What part of your work gives you the most energy or satisfaction?</x:v>
      </x:c>
      <x:c r="G34" s="83"/>
      <x:c r="H34" s="83"/>
      <x:c r="I34" s="83"/>
    </x:row>
    <x:row r="35">
      <x:c r="A35" t="str">
        <x:v>Communication &amp; Teamwork</x:v>
      </x:c>
      <x:c r="B35" s="44" t="n">
        <x:v>0.2</x:v>
      </x:c>
      <x:c r="C35" s="70" t="n">
        <x:f>AVERAGE(F16:F20)</x:f>
        <x:v>3.9</x:v>
      </x:c>
      <x:c r="D35" s="70" t="n">
        <x:f>SUM(H16:H20)</x:f>
        <x:v>15.599999999999998</x:v>
      </x:c>
      <x:c r="F35" s="83"/>
      <x:c r="G35" s="83"/>
      <x:c r="H35" s="83"/>
      <x:c r="I35" s="83"/>
    </x:row>
    <x:row r="36">
      <x:c r="A36" t="str">
        <x:v>Operational Goals</x:v>
      </x:c>
      <x:c r="B36" s="44" t="n">
        <x:v>0.25</x:v>
      </x:c>
      <x:c r="C36" s="70" t="n">
        <x:f>AVERAGE(F21:F25)</x:f>
        <x:v>4</x:v>
      </x:c>
      <x:c r="D36" s="70" t="n">
        <x:f>SUM(H21:H25)</x:f>
        <x:v>20.000000000000004</x:v>
      </x:c>
      <x:c r="F36" s="83" t="str">
        <x:v>Illustrative response area</x:v>
      </x:c>
      <x:c r="G36" s="83"/>
      <x:c r="H36" s="83"/>
      <x:c r="I36" s="83"/>
    </x:row>
    <x:row r="37">
      <x:c r="A37" t="str">
        <x:v>Role-Specific Quality</x:v>
      </x:c>
      <x:c r="B37" s="44" t="n">
        <x:v>0.3</x:v>
      </x:c>
      <x:c r="C37" s="70" t="n">
        <x:f>AVERAGE(F26:F30)</x:f>
        <x:v>4</x:v>
      </x:c>
      <x:c r="D37" s="70" t="n">
        <x:f>SUM(H26:H30)</x:f>
        <x:v>23.999999999999996</x:v>
      </x:c>
      <x:c r="F37" s="83"/>
      <x:c r="G37" s="83"/>
      <x:c r="H37" s="83"/>
      <x:c r="I37" s="83"/>
    </x:row>
    <x:row r="38">
      <x:c r="A38" s="75" t="str">
        <x:v>Overall</x:v>
      </x:c>
      <x:c r="B38" s="75" t="str"/>
      <x:c r="C38" s="76" t="n">
        <x:f>SUM(D34:D37)</x:f>
        <x:v>79.60000000000001</x:v>
      </x:c>
      <x:c r="D38" s="75" t="str">
        <x:f>IF(G6="Yes","Management Review Required",IF(C38&lt;60,"Needs Improvement",IF(C38&lt;75,"Developing",IF(C38&lt;90,"Meets",IF(C38&lt;97,"Exceeds","Exceptional")))))</x:f>
        <x:v>Meets</x:v>
      </x:c>
      <x:c r="F38" s="83"/>
      <x:c r="G38" s="83"/>
      <x:c r="H38" s="83"/>
      <x:c r="I38" s="83"/>
    </x:row>
    <x:row r="39">
      <x:c r="F39" s="83" t="str">
        <x:v>2. What meaningful goal would you like to achieve next year, and what support would help?</x:v>
      </x:c>
      <x:c r="G39" s="83"/>
      <x:c r="H39" s="83"/>
      <x:c r="I39" s="83"/>
    </x:row>
    <x:row r="40">
      <x:c r="F40" s="83"/>
      <x:c r="G40" s="83"/>
      <x:c r="H40" s="83"/>
      <x:c r="I40" s="83"/>
    </x:row>
    <x:row r="41">
      <x:c r="F41" s="83" t="str">
        <x:v>Illustrative response area</x:v>
      </x:c>
      <x:c r="G41" s="83"/>
      <x:c r="H41" s="83"/>
      <x:c r="I41" s="83"/>
    </x:row>
    <x:row r="42">
      <x:c r="F42" s="83"/>
      <x:c r="G42" s="83"/>
      <x:c r="H42" s="83"/>
      <x:c r="I42" s="83"/>
    </x:row>
    <x:row r="43">
      <x:c r="F43" s="84"/>
      <x:c r="G43" s="84"/>
      <x:c r="H43" s="84"/>
      <x:c r="I43" s="84"/>
    </x:row>
  </x:sheetData>
  <x:mergeCells>
    <x:mergeCell ref="A1:I2"/>
    <x:mergeCell ref="B4:E4"/>
    <x:mergeCell ref="B5:E5"/>
    <x:mergeCell ref="B6:E6"/>
    <x:mergeCell ref="B7:E7"/>
    <x:mergeCell ref="G4:I4"/>
    <x:mergeCell ref="G5:I5"/>
    <x:mergeCell ref="G6:I6"/>
    <x:mergeCell ref="G7:I7"/>
    <x:mergeCell ref="F33:I33"/>
    <x:mergeCell ref="F34:I35"/>
    <x:mergeCell ref="F36:I38"/>
    <x:mergeCell ref="F39:I40"/>
    <x:mergeCell ref="F41:I43"/>
  </x:mergeCells>
  <x:conditionalFormatting sqref="F11:F3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G6">
      <x:formula1>"No,Yes"</x:formula1>
    </x:dataValidation>
    <x:dataValidation type="list" sqref="D11:E30">
      <x:formula1>"1,2,3,4,5"</x:formula1>
    </x:dataValidation>
  </x:dataValidations>
  <x:pageMargins left="0.7" right="0.7" top="0.75" bottom="0.75" header="0.3" footer="0.3"/>
  <x:drawing xmlns:r="http://schemas.openxmlformats.org/officeDocument/2006/relationships" r:id="Rd4d3116278654db0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8" hidden="0" customWidth="1"/>
    <x:col min="5" max="5" width="32" hidden="0" customWidth="1"/>
    <x:col min="6" max="6" width="32" hidden="0" customWidth="1"/>
    <x:col min="7" max="7" width="28" hidden="0" customWidth="1"/>
  </x:cols>
  <x:sheetData>
    <x:row r="1">
      <x:c r="A1" s="61" t="str">
        <x:v>Behavioral Rating Anchors — Sanitized Example</x:v>
      </x:c>
      <x:c r="B1" s="61"/>
      <x:c r="C1" s="61"/>
      <x:c r="D1" s="61"/>
      <x:c r="E1" s="61"/>
      <x:c r="F1" s="61"/>
      <x:c r="G1" s="61"/>
    </x:row>
    <x:row r="2">
      <x:c r="A2" s="61"/>
      <x:c r="B2" s="61"/>
      <x:c r="C2" s="61"/>
      <x:c r="D2" s="61"/>
      <x:c r="E2" s="61"/>
      <x:c r="F2" s="61"/>
      <x:c r="G2" s="61"/>
    </x:row>
    <x:row r="4">
      <x:c r="A4" s="68" t="str">
        <x:v>Rating</x:v>
      </x:c>
      <x:c r="B4" s="68" t="str">
        <x:v>Category</x:v>
      </x:c>
      <x:c r="C4" s="68" t="str">
        <x:v>General Behavioral Standard</x:v>
      </x:c>
      <x:c r="D4" s="68" t="str">
        <x:v>Evidence Expectation</x:v>
      </x:c>
      <x:c r="E4" s="68" t="str">
        <x:v>Manager Use</x:v>
      </x:c>
      <x:c r="F4" s="68" t="str">
        <x:v>Employee Use</x:v>
      </x:c>
      <x:c r="G4" s="68" t="str">
        <x:v>Portfolio Note</x:v>
      </x:c>
    </x:row>
    <x:row r="5">
      <x:c r="A5" s="101" t="n">
        <x:v>1</x:v>
      </x:c>
      <x:c r="B5" s="101" t="str">
        <x:v>Needs Improvement</x:v>
      </x:c>
      <x:c r="C5" s="101" t="str">
        <x:v>Performance is materially below the expected standard or creates recurring operational risk.</x:v>
      </x:c>
      <x:c r="D5" s="101" t="str">
        <x:v>Documented examples and specific coaching/corrective evidence.</x:v>
      </x:c>
      <x:c r="E5" s="101" t="str">
        <x:v>Clarify immediate expectations and required improvement.</x:v>
      </x:c>
      <x:c r="F5" s="101" t="str">
        <x:v>Understand gaps and required next actions.</x:v>
      </x:c>
      <x:c r="G5" s="101" t="str">
        <x:v>Illustrative language; not employer policy.</x:v>
      </x:c>
    </x:row>
    <x:row r="6">
      <x:c r="A6" s="103" t="n">
        <x:v>2</x:v>
      </x:c>
      <x:c r="B6" s="103" t="str">
        <x:v>Developing</x:v>
      </x:c>
      <x:c r="C6" s="103" t="str">
        <x:v>Performance is inconsistent; some expectations are met but regular support is still required.</x:v>
      </x:c>
      <x:c r="D6" s="103" t="str">
        <x:v>Examples showing both progress and recurring gaps.</x:v>
      </x:c>
      <x:c r="E6" s="103" t="str">
        <x:v>Define a short development plan and follow-up cadence.</x:v>
      </x:c>
      <x:c r="F6" s="103" t="str">
        <x:v>Identify the specific behaviors needed for consistency.</x:v>
      </x:c>
      <x:c r="G6" s="103" t="str">
        <x:v>Illustrative language; not employer policy.</x:v>
      </x:c>
    </x:row>
    <x:row r="7">
      <x:c r="A7" s="105" t="n">
        <x:v>3</x:v>
      </x:c>
      <x:c r="B7" s="105" t="str">
        <x:v>Proficient</x:v>
      </x:c>
      <x:c r="C7" s="105" t="str">
        <x:v>Consistently performs core responsibilities at the expected level.</x:v>
      </x:c>
      <x:c r="D7" s="105" t="str">
        <x:v>Representative examples demonstrating reliable performance.</x:v>
      </x:c>
      <x:c r="E7" s="105" t="str">
        <x:v>Reinforce strengths and clarify next-level behaviors.</x:v>
      </x:c>
      <x:c r="F7" s="105" t="str">
        <x:v>Maintain reliability and identify growth opportunities.</x:v>
      </x:c>
      <x:c r="G7" s="105" t="str">
        <x:v>Equivalent to solid expected performance.</x:v>
      </x:c>
    </x:row>
    <x:row r="8">
      <x:c r="A8" s="107" t="n">
        <x:v>4</x:v>
      </x:c>
      <x:c r="B8" s="107" t="str">
        <x:v>Advanced</x:v>
      </x:c>
      <x:c r="C8" s="107" t="str">
        <x:v>Regularly exceeds core expectations and improves outcomes for the team or workflow.</x:v>
      </x:c>
      <x:c r="D8" s="107" t="str">
        <x:v>Specific examples of initiative, peer support, or measurable improvement.</x:v>
      </x:c>
      <x:c r="E8" s="107" t="str">
        <x:v>Recognize impact and expand ownership where appropriate.</x:v>
      </x:c>
      <x:c r="F8" s="107" t="str">
        <x:v>Build repeatable strengths and broaden contribution.</x:v>
      </x:c>
      <x:c r="G8" s="107" t="str">
        <x:v>Requires evidence beyond simply “doing the job.”</x:v>
      </x:c>
    </x:row>
    <x:row r="9">
      <x:c r="A9" s="109" t="n">
        <x:v>5</x:v>
      </x:c>
      <x:c r="B9" s="109" t="str">
        <x:v>Exceptional</x:v>
      </x:c>
      <x:c r="C9" s="109" t="str">
        <x:v>Creates sustained impact beyond role expectations; models best practice or drives improvement.</x:v>
      </x:c>
      <x:c r="D9" s="109" t="str">
        <x:v>Strong evidence such as measurable improvement, recognition, innovation, or sustained leadership.</x:v>
      </x:c>
      <x:c r="E9" s="109" t="str">
        <x:v>Recognize exceptional impact and consider stretch opportunities.</x:v>
      </x:c>
      <x:c r="F9" s="109" t="str">
        <x:v>Share practices and mentor others where appropriate.</x:v>
      </x:c>
      <x:c r="G9" s="109" t="str">
        <x:v>Reserved for clearly differentiated impact.</x:v>
      </x:c>
    </x:row>
    <x:row r="12">
      <x:c r="A12" s="68" t="str">
        <x:v>Competency</x:v>
      </x:c>
      <x:c r="B12" s="68" t="str">
        <x:v>1 — Needs Improvement</x:v>
      </x:c>
      <x:c r="C12" s="68" t="str">
        <x:v>3 — Proficient</x:v>
      </x:c>
      <x:c r="D12" s="68" t="str">
        <x:v>5 — Exceptional</x:v>
      </x:c>
    </x:row>
    <x:row r="13">
      <x:c r="A13" s="37" t="str">
        <x:v>Integrity</x:v>
      </x:c>
      <x:c r="B13" s="37" t="str">
        <x:v>Avoids accountability or repeatedly fails to follow through.</x:v>
      </x:c>
      <x:c r="C13" s="37" t="str">
        <x:v>Owns commitments and addresses mistakes appropriately.</x:v>
      </x:c>
      <x:c r="D13" s="37" t="str">
        <x:v>Models accountability, anticipates risks, and helps others solve problems constructively.</x:v>
      </x:c>
    </x:row>
    <x:row r="14">
      <x:c r="A14" s="37" t="str">
        <x:v>Collaboration</x:v>
      </x:c>
      <x:c r="B14" s="37" t="str">
        <x:v>Resists team support or creates avoidable friction.</x:v>
      </x:c>
      <x:c r="C14" s="37" t="str">
        <x:v>Works cooperatively and communicates clearly.</x:v>
      </x:c>
      <x:c r="D14" s="37" t="str">
        <x:v>Strengthens cross-team performance and proactively removes barriers for others.</x:v>
      </x:c>
    </x:row>
    <x:row r="15">
      <x:c r="A15" s="37" t="str">
        <x:v>Communication</x:v>
      </x:c>
      <x:c r="B15" s="37" t="str">
        <x:v>Updates are late, unclear, or create operational confusion.</x:v>
      </x:c>
      <x:c r="C15" s="37" t="str">
        <x:v>Provides timely, clear information through appropriate channels.</x:v>
      </x:c>
      <x:c r="D15" s="37" t="str">
        <x:v>Anticipates information needs and improves communication processes for the team.</x:v>
      </x:c>
    </x:row>
    <x:row r="16">
      <x:c r="A16" s="37" t="str">
        <x:v>Patient / Customer Experience</x:v>
      </x:c>
      <x:c r="B16" s="37" t="str">
        <x:v>Recurring complaints or dismissive interactions.</x:v>
      </x:c>
      <x:c r="C16" s="37" t="str">
        <x:v>Consistently professional, respectful, and solution-oriented.</x:v>
      </x:c>
      <x:c r="D16" s="37" t="str">
        <x:v>Frequently recognized for exceptional service and improves the experience for others.</x:v>
      </x:c>
    </x:row>
    <x:row r="17">
      <x:c r="A17" s="37" t="str">
        <x:v>Safety &amp; Risk Awareness</x:v>
      </x:c>
      <x:c r="B17" s="37" t="str">
        <x:v>Does not reliably follow standards or report hazards.</x:v>
      </x:c>
      <x:c r="C17" s="37" t="str">
        <x:v>Follows protocols and reports concerns promptly.</x:v>
      </x:c>
      <x:c r="D17" s="37" t="str">
        <x:v>Identifies systemic risks, educates peers, and improves safety processes.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2" hidden="0" customWidth="1"/>
    <x:col min="5" max="5" width="30" hidden="0" customWidth="1"/>
    <x:col min="6" max="6" width="34" hidden="0" customWidth="1"/>
    <x:col min="7" max="7" width="38" hidden="0" customWidth="1"/>
    <x:col min="8" max="8" width="28" hidden="0" customWidth="1"/>
  </x:cols>
  <x:sheetData>
    <x:row r="1">
      <x:c r="A1" s="61" t="str">
        <x:v>Role-Specific Performance Metric Examples</x:v>
      </x:c>
      <x:c r="B1" s="61"/>
      <x:c r="C1" s="61"/>
      <x:c r="D1" s="61"/>
      <x:c r="E1" s="61"/>
      <x:c r="F1" s="61"/>
      <x:c r="G1" s="61"/>
      <x:c r="H1" s="61"/>
    </x:row>
    <x:row r="2">
      <x:c r="A2" s="61"/>
      <x:c r="B2" s="61"/>
      <x:c r="C2" s="61"/>
      <x:c r="D2" s="61"/>
      <x:c r="E2" s="61"/>
      <x:c r="F2" s="61"/>
      <x:c r="G2" s="61"/>
      <x:c r="H2" s="61"/>
    </x:row>
    <x:row r="3">
      <x:c r="A3" s="112" t="str">
        <x:v>These examples preserve the design concept of role-specific scorecards while replacing employer benchmarks and operational thresholds with illustrative portfolio values.</x:v>
      </x:c>
      <x:c r="B3" s="112"/>
      <x:c r="C3" s="112"/>
      <x:c r="D3" s="112"/>
      <x:c r="E3" s="112"/>
      <x:c r="F3" s="112"/>
      <x:c r="G3" s="112"/>
      <x:c r="H3" s="112"/>
    </x:row>
    <x:row r="4">
      <x:c r="A4" s="112"/>
      <x:c r="B4" s="112"/>
      <x:c r="C4" s="112"/>
      <x:c r="D4" s="112"/>
      <x:c r="E4" s="112"/>
      <x:c r="F4" s="112"/>
      <x:c r="G4" s="112"/>
      <x:c r="H4" s="112"/>
    </x:row>
    <x:row r="6">
      <x:c r="A6" s="68" t="str">
        <x:v>Role Family</x:v>
      </x:c>
      <x:c r="B6" s="68" t="str">
        <x:v>Metric</x:v>
      </x:c>
      <x:c r="C6" s="68" t="str">
        <x:v>1 — Needs Improvement</x:v>
      </x:c>
      <x:c r="D6" s="68" t="str">
        <x:v>2 — Developing</x:v>
      </x:c>
      <x:c r="E6" s="68" t="str">
        <x:v>3 — Proficient</x:v>
      </x:c>
      <x:c r="F6" s="68" t="str">
        <x:v>4 — Advanced</x:v>
      </x:c>
      <x:c r="G6" s="68" t="str">
        <x:v>5 — Exceptional</x:v>
      </x:c>
      <x:c r="H6" s="68" t="str">
        <x:v>Evidence Source</x:v>
      </x:c>
    </x:row>
    <x:row r="7">
      <x:c r="A7" s="37" t="str">
        <x:v>Patient Access</x:v>
      </x:c>
      <x:c r="B7" s="37" t="str">
        <x:v>Call Management</x:v>
      </x:c>
      <x:c r="C7" s="37" t="str">
        <x:v>&lt;70% or recurring workflow failures</x:v>
      </x:c>
      <x:c r="D7" s="37" t="str">
        <x:v>70–79%</x:v>
      </x:c>
      <x:c r="E7" s="37" t="str">
        <x:v>80–89%</x:v>
      </x:c>
      <x:c r="F7" s="37" t="str">
        <x:v>90–94%</x:v>
      </x:c>
      <x:c r="G7" s="37" t="str">
        <x:v>95%+ plus peer/process contribution</x:v>
      </x:c>
      <x:c r="H7" s="37" t="str">
        <x:v>Illustrative phone report</x:v>
      </x:c>
    </x:row>
    <x:row r="8">
      <x:c r="A8" s="37" t="str">
        <x:v>Patient Access</x:v>
      </x:c>
      <x:c r="B8" s="37" t="str">
        <x:v>Registration Accuracy</x:v>
      </x:c>
      <x:c r="C8" s="37" t="str">
        <x:v>Recurring preventable errors</x:v>
      </x:c>
      <x:c r="D8" s="37" t="str">
        <x:v>Improving but inconsistent</x:v>
      </x:c>
      <x:c r="E8" s="37" t="str">
        <x:v>Meets audit standard</x:v>
      </x:c>
      <x:c r="F8" s="37" t="str">
        <x:v>Near-zero errors + proactive prevention</x:v>
      </x:c>
      <x:c r="G8" s="37" t="str">
        <x:v>Sustained accuracy + workflow improvement</x:v>
      </x:c>
      <x:c r="H8" s="37" t="str">
        <x:v>Illustrative registration audit</x:v>
      </x:c>
    </x:row>
    <x:row r="9">
      <x:c r="A9" s="37" t="str">
        <x:v>Patient Access</x:v>
      </x:c>
      <x:c r="B9" s="37" t="str">
        <x:v>Scheduling Accuracy</x:v>
      </x:c>
      <x:c r="C9" s="37" t="str">
        <x:v>Multiple avoidable scheduling errors</x:v>
      </x:c>
      <x:c r="D9" s="37" t="str">
        <x:v>Occasional errors requiring coaching</x:v>
      </x:c>
      <x:c r="E9" s="37" t="str">
        <x:v>Consistently accurate</x:v>
      </x:c>
      <x:c r="F9" s="37" t="str">
        <x:v>Accurate + supports peers</x:v>
      </x:c>
      <x:c r="G9" s="37" t="str">
        <x:v>Accurate + improves process/training</x:v>
      </x:c>
      <x:c r="H9" s="37" t="str">
        <x:v>Illustrative error log</x:v>
      </x:c>
    </x:row>
    <x:row r="10">
      <x:c r="A10" s="37" t="str">
        <x:v>Clinical Support</x:v>
      </x:c>
      <x:c r="B10" s="37" t="str">
        <x:v>Documentation Quality</x:v>
      </x:c>
      <x:c r="C10" s="37" t="str">
        <x:v>Recurring incomplete/unsafe documentation</x:v>
      </x:c>
      <x:c r="D10" s="37" t="str">
        <x:v>Several corrections needed</x:v>
      </x:c>
      <x:c r="E10" s="37" t="str">
        <x:v>Complete and timely</x:v>
      </x:c>
      <x:c r="F10" s="37" t="str">
        <x:v>Complete + peer resource</x:v>
      </x:c>
      <x:c r="G10" s="37" t="str">
        <x:v>Improves documentation workflow or training</x:v>
      </x:c>
      <x:c r="H10" s="37" t="str">
        <x:v>Illustrative chart audit</x:v>
      </x:c>
    </x:row>
    <x:row r="11">
      <x:c r="A11" s="37" t="str">
        <x:v>Clinical Support</x:v>
      </x:c>
      <x:c r="B11" s="37" t="str">
        <x:v>Specimen / Medication Accuracy</x:v>
      </x:c>
      <x:c r="C11" s="37" t="str">
        <x:v>Multiple preventable incidents</x:v>
      </x:c>
      <x:c r="D11" s="37" t="str">
        <x:v>Occasional incidents</x:v>
      </x:c>
      <x:c r="E11" s="37" t="str">
        <x:v>Meets safety standard</x:v>
      </x:c>
      <x:c r="F11" s="37" t="str">
        <x:v>No incidents + peer support</x:v>
      </x:c>
      <x:c r="G11" s="37" t="str">
        <x:v>No incidents + process improvement</x:v>
      </x:c>
      <x:c r="H11" s="37" t="str">
        <x:v>Illustrative safety log</x:v>
      </x:c>
    </x:row>
    <x:row r="12">
      <x:c r="A12" s="37" t="str">
        <x:v>Clinical Support</x:v>
      </x:c>
      <x:c r="B12" s="37" t="str">
        <x:v>Work Queue Management</x:v>
      </x:c>
      <x:c r="C12" s="37" t="str">
        <x:v>Backlog or missed follow-up creates risk</x:v>
      </x:c>
      <x:c r="D12" s="37" t="str">
        <x:v>Inconsistent completion</x:v>
      </x:c>
      <x:c r="E12" s="37" t="str">
        <x:v>Meets role SLA</x:v>
      </x:c>
      <x:c r="F12" s="37" t="str">
        <x:v>Works ahead + supports team</x:v>
      </x:c>
      <x:c r="G12" s="37" t="str">
        <x:v>Identifies trends and improves workflow</x:v>
      </x:c>
      <x:c r="H12" s="37" t="str">
        <x:v>Illustrative queue report</x:v>
      </x:c>
    </x:row>
    <x:row r="13">
      <x:c r="A13" s="37" t="str">
        <x:v>Nurse Triage</x:v>
      </x:c>
      <x:c r="B13" s="37" t="str">
        <x:v>Triage Documentation</x:v>
      </x:c>
      <x:c r="C13" s="37" t="str">
        <x:v>Recurring incomplete documentation or late escalation</x:v>
      </x:c>
      <x:c r="D13" s="37" t="str">
        <x:v>Inconsistent documentation</x:v>
      </x:c>
      <x:c r="E13" s="37" t="str">
        <x:v>Accurate and timely within scope</x:v>
      </x:c>
      <x:c r="F13" s="37" t="str">
        <x:v>Strong clinical handoff + peer support</x:v>
      </x:c>
      <x:c r="G13" s="37" t="str">
        <x:v>Leads workflow improvement / education</x:v>
      </x:c>
      <x:c r="H13" s="37" t="str">
        <x:v>Illustrative peer review</x:v>
      </x:c>
    </x:row>
    <x:row r="14">
      <x:c r="A14" s="37" t="str">
        <x:v>Nurse Triage</x:v>
      </x:c>
      <x:c r="B14" s="37" t="str">
        <x:v>Patient Call Responsiveness</x:v>
      </x:c>
      <x:c r="C14" s="37" t="str">
        <x:v>Frequent delayed responses</x:v>
      </x:c>
      <x:c r="D14" s="37" t="str">
        <x:v>Some delays / follow-up gaps</x:v>
      </x:c>
      <x:c r="E14" s="37" t="str">
        <x:v>Meets response standard</x:v>
      </x:c>
      <x:c r="F14" s="37" t="str">
        <x:v>Consistently ahead of standard</x:v>
      </x:c>
      <x:c r="G14" s="37" t="str">
        <x:v>Improves triage access and coaches others</x:v>
      </x:c>
      <x:c r="H14" s="37" t="str">
        <x:v>Illustrative call report</x:v>
      </x:c>
    </x:row>
    <x:row r="15">
      <x:c r="A15" s="37" t="str">
        <x:v>Imaging</x:v>
      </x:c>
      <x:c r="B15" s="37" t="str">
        <x:v>Image Quality</x:v>
      </x:c>
      <x:c r="C15" s="37" t="str">
        <x:v>Repeat images due to avoidable quality issues</x:v>
      </x:c>
      <x:c r="D15" s="37" t="str">
        <x:v>Inconsistent technique</x:v>
      </x:c>
      <x:c r="E15" s="37" t="str">
        <x:v>Consistently diagnostic-quality work</x:v>
      </x:c>
      <x:c r="F15" s="37" t="str">
        <x:v>High quality + peer support</x:v>
      </x:c>
      <x:c r="G15" s="37" t="str">
        <x:v>Improves technique/workflow or education</x:v>
      </x:c>
      <x:c r="H15" s="37" t="str">
        <x:v>Illustrative QA report</x:v>
      </x:c>
    </x:row>
    <x:row r="16">
      <x:c r="A16" s="37" t="str">
        <x:v>Imaging</x:v>
      </x:c>
      <x:c r="B16" s="37" t="str">
        <x:v>Timeliness &amp; Safety</x:v>
      </x:c>
      <x:c r="C16" s="37" t="str">
        <x:v>Delays or safety concerns</x:v>
      </x:c>
      <x:c r="D16" s="37" t="str">
        <x:v>Inconsistent timeliness / process adherence</x:v>
      </x:c>
      <x:c r="E16" s="37" t="str">
        <x:v>Meets turnaround and safety expectations</x:v>
      </x:c>
      <x:c r="F16" s="37" t="str">
        <x:v>Proactively prevents delays</x:v>
      </x:c>
      <x:c r="G16" s="37" t="str">
        <x:v>Leads quality/safety improvement</x:v>
      </x:c>
      <x:c r="H16" s="37" t="str">
        <x:v>Illustrative QA / safety data</x:v>
      </x:c>
    </x:row>
  </x:sheetData>
  <x:mergeCells>
    <x:mergeCell ref="A1:H2"/>
    <x:mergeCell ref="A3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38" hidden="0" customWidth="1"/>
    <x:col min="4" max="4" width="44" hidden="0" customWidth="1"/>
    <x:col min="5" max="5" width="24" hidden="0" customWidth="1"/>
    <x:col min="6" max="6" width="30" hidden="0" customWidth="1"/>
  </x:cols>
  <x:sheetData>
    <x:row r="1">
      <x:c r="A1" s="61" t="str">
        <x:v>Implementation &amp; Governance Guide</x:v>
      </x:c>
      <x:c r="B1" s="61"/>
      <x:c r="C1" s="61"/>
      <x:c r="D1" s="61"/>
      <x:c r="E1" s="61"/>
      <x:c r="F1" s="61"/>
    </x:row>
    <x:row r="2">
      <x:c r="A2" s="61"/>
      <x:c r="B2" s="61"/>
      <x:c r="C2" s="61"/>
      <x:c r="D2" s="61"/>
      <x:c r="E2" s="61"/>
      <x:c r="F2" s="61"/>
    </x:row>
    <x:row r="5">
      <x:c r="A5" s="68" t="str">
        <x:v>Phase</x:v>
      </x:c>
      <x:c r="B5" s="68" t="str">
        <x:v>Leader Action</x:v>
      </x:c>
      <x:c r="C5" s="68" t="str">
        <x:v>Employee Experience</x:v>
      </x:c>
      <x:c r="D5" s="68" t="str">
        <x:v>Control / Governance</x:v>
      </x:c>
      <x:c r="E5" s="68" t="str">
        <x:v>Deliverable</x:v>
      </x:c>
      <x:c r="F5" s="68" t="str">
        <x:v>Portfolio Skill Demonstrated</x:v>
      </x:c>
    </x:row>
    <x:row r="6">
      <x:c r="A6" s="37" t="str">
        <x:v>1. Define</x:v>
      </x:c>
      <x:c r="B6" s="37" t="str">
        <x:v>Translate broad job expectations into observable behaviors and role metrics.</x:v>
      </x:c>
      <x:c r="C6" s="37" t="str">
        <x:v>Understands what “good” looks like before review time.</x:v>
      </x:c>
      <x:c r="D6" s="37" t="str">
        <x:v>Review measures for fairness, relevance, and controllability.</x:v>
      </x:c>
      <x:c r="E6" s="37" t="str">
        <x:v>Competency map</x:v>
      </x:c>
      <x:c r="F6" s="37" t="str">
        <x:v>Performance system design</x:v>
      </x:c>
    </x:row>
    <x:row r="7">
      <x:c r="A7" s="37" t="str">
        <x:v>2. Set Evidence</x:v>
      </x:c>
      <x:c r="B7" s="37" t="str">
        <x:v>Define acceptable evidence for each level and identify data sources.</x:v>
      </x:c>
      <x:c r="C7" s="37" t="str">
        <x:v>Knows what examples and outcomes count.</x:v>
      </x:c>
      <x:c r="D7" s="37" t="str">
        <x:v>Avoid metrics the employee cannot reasonably influence.</x:v>
      </x:c>
      <x:c r="E7" s="37" t="str">
        <x:v>Evidence standards</x:v>
      </x:c>
      <x:c r="F7" s="37" t="str">
        <x:v>KPI governance</x:v>
      </x:c>
    </x:row>
    <x:row r="8">
      <x:c r="A8" s="37" t="str">
        <x:v>3. Train Raters</x:v>
      </x:c>
      <x:c r="B8" s="37" t="str">
        <x:v>Calibrate leaders on rating anchors and examples.</x:v>
      </x:c>
      <x:c r="C8" s="37" t="str">
        <x:v>Experiences more consistent ratings across supervisors.</x:v>
      </x:c>
      <x:c r="D8" s="37" t="str">
        <x:v>Use a second rater or calibration discussion for higher-stakes ratings.</x:v>
      </x:c>
      <x:c r="E8" s="37" t="str">
        <x:v>Calibration guide</x:v>
      </x:c>
      <x:c r="F8" s="37" t="str">
        <x:v>Change management</x:v>
      </x:c>
    </x:row>
    <x:row r="9">
      <x:c r="A9" s="37" t="str">
        <x:v>4. Review</x:v>
      </x:c>
      <x:c r="B9" s="37" t="str">
        <x:v>Complete ratings, comments, and evidence; compare rater differences.</x:v>
      </x:c>
      <x:c r="C9" s="37" t="str">
        <x:v>Receives a structured performance conversation.</x:v>
      </x:c>
      <x:c r="D9" s="37" t="str">
        <x:v>Flag large rater gaps for review before finalization.</x:v>
      </x:c>
      <x:c r="E9" s="37" t="str">
        <x:v>Completed review</x:v>
      </x:c>
      <x:c r="F9" s="37" t="str">
        <x:v>Performance management</x:v>
      </x:c>
    </x:row>
    <x:row r="10">
      <x:c r="A10" s="37" t="str">
        <x:v>5. Develop</x:v>
      </x:c>
      <x:c r="B10" s="37" t="str">
        <x:v>Convert findings into one or two meaningful goals and needed support.</x:v>
      </x:c>
      <x:c r="C10" s="37" t="str">
        <x:v>Leaves with clear development priorities.</x:v>
      </x:c>
      <x:c r="D10" s="37" t="str">
        <x:v>Document ownership, support, and follow-up date.</x:v>
      </x:c>
      <x:c r="E10" s="37" t="str">
        <x:v>Development plan</x:v>
      </x:c>
      <x:c r="F10" s="37" t="str">
        <x:v>Coaching / talent development</x:v>
      </x:c>
    </x:row>
    <x:row r="11">
      <x:c r="A11" s="37" t="str">
        <x:v>6. Improve</x:v>
      </x:c>
      <x:c r="B11" s="37" t="str">
        <x:v>Review rubric annually for measures that are unclear, duplicative, or no longer strategic.</x:v>
      </x:c>
      <x:c r="C11" s="37" t="str">
        <x:v>Sees a system that evolves with the work.</x:v>
      </x:c>
      <x:c r="D11" s="37" t="str">
        <x:v>Separate score changes from policy/disciplinary decisions.</x:v>
      </x:c>
      <x:c r="E11" s="37" t="str">
        <x:v>Annual rubric refresh</x:v>
      </x:c>
      <x:c r="F11" s="37" t="str">
        <x:v>Continuous improvement</x:v>
      </x:c>
    </x:row>
    <x:row r="14">
      <x:c r="A14" s="117" t="str">
        <x:v>Portfolio governance principle: performance measures should be evidence-based, role-relevant, and within the employee’s reasonable sphere of influence. Formal HR consequences should follow the organization’s approved policy rather than be inferred solely from a spreadsheet score.</x:v>
      </x:c>
      <x:c r="B14" s="117"/>
      <x:c r="C14" s="117"/>
      <x:c r="D14" s="117"/>
      <x:c r="E14" s="117"/>
      <x:c r="F14" s="117"/>
    </x:row>
    <x:row r="15">
      <x:c r="A15" s="117"/>
      <x:c r="B15" s="117"/>
      <x:c r="C15" s="117"/>
      <x:c r="D15" s="117"/>
      <x:c r="E15" s="117"/>
      <x:c r="F15" s="117"/>
    </x:row>
  </x:sheetData>
  <x:mergeCells>
    <x:mergeCell ref="A1:F2"/>
    <x:mergeCell ref="A14:F15"/>
  </x:mergeCells>
  <x:pageMargins left="0.7" right="0.7" top="0.75" bottom="0.75" header="0.3" footer="0.3"/>
</x:worksheet>
</file>